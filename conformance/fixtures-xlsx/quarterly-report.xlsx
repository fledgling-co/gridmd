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licerCaches/slicerCache1.xml" ContentType="application/vnd.ms-excel.slicerCache+xml"/>
  <Override PartName="/xl/slicers/slicer1.xml" ContentType="application/vnd.ms-excel.slicer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heets/sheet1.xml" ContentType="application/vnd.openxmlformats-officedocument.spreadsheetml.chartsheet+xml"/>
  <Override PartName="/xl/persons/person.xml" ContentType="application/vnd.ms-excel.person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 lockStructure="1"/>
  <sheets>
    <sheet name="Summary" sheetId="1" r:id="rId1"/>
    <sheet name="Sales" sheetId="2" r:id="rId2"/>
    <sheet name="Assumptions" sheetId="3" r:id="rId3"/>
    <sheet name="Data" state="hidden" sheetId="4" r:id="rId4"/>
    <sheet name="Revenue Chart" sheetId="5" r:id="rId5"/>
  </sheets>
  <definedNames>
    <definedName name="TaxRate">Assumptions!$B$2</definedName>
    <definedName name="FtoC">LAMBDA(F,(F-32)*5/9)</definedName>
    <definedName name="Regions">{"AU","NZ","UK"}</definedName>
    <definedName name="_xlnm.Print_Area" localSheetId="0">Summary!$A$1:$M$24</definedName>
  </definedNames>
  <calcPr calcId="0" calcMode="auto" fullCalcOnLoad="1"/>
  <pivotCaches>
    <pivotCache cacheId="1" r:id="rId7"/>
  </pivotCaches>
  <extLst>
    <ext xmlns:x15="http://schemas.microsoft.com/office/spreadsheetml/2010/11/main" uri="{46BE6895-7355-4a93-B00E-2C351335B9C9}">
      <x15:slicerCaches xmlns:x14="http://schemas.microsoft.com/office/spreadsheetml/2009/9/main">
        <x14:slicerCache r:id="rId8"/>
      </x15:slicerCaches>
    </ext>
  </extLst>
</workbook>
</file>

<file path=xl/comments1.xml><?xml version="1.0" encoding="utf-8"?>
<comments xmlns="http://schemas.openxmlformats.org/spreadsheetml/2006/main">
  <authors>
    <author>GridMD</author>
  </authors>
  <commentList>
    <comment ref="B2" authorId="0">
      <text>
        <r>
          <t xml:space="preserve">Blended company rate agreed with finance, 12 Jun 2026.
</t>
        </r>
      </text>
    </comment>
  </commentList>
</comments>
</file>

<file path=xl/styles.xml><?xml version="1.0" encoding="utf-8"?>
<styleSheet xmlns="http://schemas.openxmlformats.org/spreadsheetml/2006/main">
  <numFmts count="5">
    <numFmt numFmtId="164" formatCode="$#,##0.00"/>
    <numFmt numFmtId="165" formatCode="0.0%"/>
    <numFmt numFmtId="166" formatCode="$#,##0"/>
    <numFmt numFmtId="167" formatCode="0.0000"/>
    <numFmt numFmtId="168" formatCode="0.0"/>
  </numFmts>
  <fonts count="5">
    <font>
      <sz val="11"/>
      <name val="Calibri"/>
    </font>
    <font>
      <b/>
      <sz val="11"/>
      <color rgb="FFFFFFFF"/>
      <name val="Calibri"/>
    </font>
    <font>
      <b/>
      <sz val="13"/>
      <name val="Calibri"/>
    </font>
    <font>
      <b/>
      <sz val="11"/>
      <name val="Calibri"/>
    </font>
    <font>
      <sz val="11"/>
      <color rgb="FF5E6A8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FA6"/>
      </patternFill>
    </fill>
    <fill>
      <patternFill patternType="solid">
        <fgColor rgb="FFFFFD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/>
    <xf numFmtId="0" fontId="1" fillId="2" borderId="0" applyFont="1" applyFill="1" applyAlignment="1">
      <alignment horizontal="center"/>
    </xf>
    <xf numFmtId="0" fontId="2" fillId="0" borderId="0" applyFont="1"/>
    <xf numFmtId="164" fontId="0" fillId="0" borderId="0" applyNumberFormat="1"/>
    <xf numFmtId="165" fontId="0" fillId="0" borderId="0" applyNumberFormat="1"/>
    <xf numFmtId="0" fontId="3" fillId="0" borderId="0" applyFont="1"/>
    <xf numFmtId="0" fontId="4" fillId="0" borderId="0" applyFont="1"/>
    <xf numFmtId="1" fontId="0" fillId="0" borderId="0" applyNumberFormat="1"/>
    <xf numFmtId="9" fontId="0" fillId="0" borderId="0" applyNumberFormat="1"/>
    <xf numFmtId="9" fontId="0" fillId="3" borderId="0" applyNumberFormat="1" applyFill="1" applyProtection="1">
      <protection locked="0"/>
    </xf>
    <xf numFmtId="167" fontId="0" fillId="3" borderId="0" applyNumberFormat="1" applyFill="1" applyProtection="1">
      <protection locked="0"/>
    </xf>
    <xf numFmtId="165" fontId="0" fillId="3" borderId="0" applyNumberFormat="1" applyFill="1" applyProtection="1">
      <protection locked="0"/>
    </xf>
    <xf numFmtId="0" fontId="0" fillId="0" borderId="0" applyProtection="1">
      <protection locked="0"/>
    </xf>
    <xf numFmtId="168" fontId="0" fillId="0" borderId="0" applyNumberFormat="1"/>
    <xf numFmtId="0" fontId="1" fillId="2" borderId="0" applyFont="1" applyFill="1"/>
    <xf numFmtId="167" fontId="0" fillId="0" borderId="0" applyNumberFormat="1"/>
  </cellXfs>
  <cellStyles count="1">
    <cellStyle name="Normal" xfId="0" builtinId="0"/>
  </cellStyles>
  <dxfs count="2">
    <dxf>
      <font>
        <color rgb="FF0B8A00"/>
      </font>
      <fill>
        <patternFill>
          <bgColor rgb="FFE7F6E7"/>
        </patternFill>
      </fill>
    </dxf>
    <dxf>
      <fill>
        <patternFill>
          <bgColor rgb="FFFFF4E5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chartsheet" Target="chartsheets/sheet1.xml"/><Relationship Id="rId6" Type="http://schemas.openxmlformats.org/officeDocument/2006/relationships/styles" Target="styles.xml"/><Relationship Id="rId7" Type="http://schemas.openxmlformats.org/officeDocument/2006/relationships/pivotCacheDefinition" Target="pivotCache/pivotCacheDefinition1.xml"/><Relationship Id="rId8" Type="http://schemas.microsoft.com/office/2007/relationships/slicerCache" Target="slicerCaches/slicerCache1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Revenue and margin by product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1F3FA6"/>
            </a:solidFill>
          </c:spPr>
          <c:dLbls>
            <c:numFmt formatCode="$#,##0" sourceLinked="0"/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trendlineType val="linear"/>
            <c:forward val="1"/>
            <c:dispRSqr val="1"/>
            <c:dispEq val="1"/>
          </c:trendline>
          <c:errBars>
            <c:errDir val="y"/>
            <c:errBarType val="both"/>
            <c:errValType val="percentage"/>
            <c:noEndCap val="0"/>
            <c:val val="5"/>
          </c:errBars>
          <c:cat>
            <c:strRef>
              <c:f>Sales!$B$5:$B$11</c:f>
            </c:strRef>
          </c:cat>
          <c:val>
            <c:numRef>
              <c:f>Sales!$G$5:$G$11</c:f>
            </c:numRef>
          </c:val>
        </c:ser>
        <c:gapWidth val="60"/>
        <c:axId val="1001"/>
        <c:axId val="1002"/>
      </c:barChart>
      <c:lineChart>
        <c:grouping val="standard"/>
        <c:varyColors val="0"/>
        <c:ser>
          <c:idx val="1"/>
          <c:order val="1"/>
          <c:tx>
            <c:v>Margin</c:v>
          </c:tx>
          <c:spPr>
            <a:ln w="19050">
              <a:solidFill>
                <a:srgbClr val="63BE7B"/>
              </a:solidFill>
            </a:ln>
          </c:spPr>
          <c:marker>
            <c:symbol val="circle"/>
          </c:marker>
          <c:cat>
            <c:strRef>
              <c:f>Sales!$B$5:$B$11</c:f>
            </c:strRef>
          </c:cat>
          <c:val>
            <c:numRef>
              <c:f>Sales!$H$5:$H$11</c:f>
            </c:numRef>
          </c:val>
          <c:smooth val="0"/>
        </c:ser>
        <c:marker val="1"/>
        <c:axId val="1003"/>
        <c:axId val="1004"/>
      </c:lineChart>
      <c:catAx>
        <c:axId val="1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Product</a:t>
                </a:r>
              </a:p>
            </c:rich>
          </c:tx>
          <c:overlay val="0"/>
        </c:title>
        <c:majorTickMark val="out"/>
        <c:minorTickMark val="none"/>
        <c:tickLblPos val="nextTo"/>
        <c:crossAx val="1002"/>
      </c:catAx>
      <c:valAx>
        <c:axId val="1002"/>
        <c:scaling>
          <c:orientation val="minMax"/>
          <c:max val="7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Revenue</a:t>
                </a:r>
              </a:p>
            </c:rich>
          </c:tx>
          <c:overlay val="0"/>
        </c:title>
        <c:numFmt formatCode="$#,##0" sourceLinked="0"/>
        <c:majorTickMark val="out"/>
        <c:minorTickMark val="none"/>
        <c:tickLblPos val="nextTo"/>
        <c:crossAx val="1001"/>
        <c:majorUnit val="100"/>
      </c:valAx>
      <c:valAx>
        <c:axId val="1004"/>
        <c:scaling>
          <c:orientation val="minMax"/>
          <c:max val="0.6"/>
        </c:scaling>
        <c:delete val="0"/>
        <c:axPos val="r"/>
        <c:title>
          <c:tx>
            <c:rich>
              <a:bodyPr/>
              <a:lstStyle/>
              <a:p>
                <a:r>
                  <a:t>Margin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1003"/>
        <c:crosses val="max"/>
      </c:valAx>
      <c:catAx>
        <c:axId val="1003"/>
        <c:scaling>
          <c:orientation val="minMax"/>
        </c:scaling>
        <c:delete val="1"/>
        <c:axPos val="b"/>
        <c:majorTickMark val="out"/>
        <c:minorTickMark val="none"/>
        <c:tickLblPos val="nextTo"/>
        <c:crossAx val="1004"/>
      </c:catAx>
    </c:plotArea>
    <c:legend>
      <c:legendPos val="b"/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Revenue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1F3FA6"/>
            </a:solidFill>
          </c:spPr>
          <c:cat>
            <c:strRef>
              <c:f>Sales!$C$5:$C$11</c:f>
            </c:strRef>
          </c:cat>
          <c:val>
            <c:numRef>
              <c:f>Sales!$G$5:$G$11</c:f>
            </c:numRef>
          </c:val>
        </c:ser>
        <c:gapWidth val="150"/>
        <c:axId val="1001"/>
        <c:axId val="1002"/>
      </c:barChart>
      <c:catAx>
        <c:axId val="1001"/>
        <c:scaling>
          <c:orientation val="minMax"/>
        </c:scaling>
        <c:delete val="0"/>
        <c:axPos val="b"/>
        <c:majorTickMark val="out"/>
        <c:minorTickMark val="none"/>
        <c:tickLblPos val="nextTo"/>
        <c:crossAx val="1002"/>
      </c:catAx>
      <c:valAx>
        <c:axId val="100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t>Revenue</a:t>
                </a:r>
              </a:p>
            </c:rich>
          </c:tx>
          <c:overlay val="0"/>
        </c:title>
        <c:numFmt formatCode="$#,##0" sourceLinked="0"/>
        <c:majorTickMark val="out"/>
        <c:minorTickMark val="none"/>
        <c:tickLblPos val="nextTo"/>
        <c:crossAx val="1001"/>
      </c:valAx>
    </c:plotArea>
    <c:legend>
      <c:legendPos val="r"/>
      <c:overlay val="0"/>
    </c:legend>
    <c:plotVisOnly val="1"/>
    <c:dispBlanksAs val="gap"/>
  </c:chart>
</c:chartSpace>
</file>

<file path=xl/chart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>
  <sheetPr>
    <tabColor rgb="FFC0392B"/>
  </sheetPr>
  <sheetViews>
    <sheetView workbookViewId="0" zoomToFit="1"/>
  </sheetViews>
  <drawing r:id="rId1"/>
</chartsheet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12</xdr:col>
      <xdr:colOff>0</xdr:colOff>
      <xdr:row>14</xdr:row>
      <xdr:rowOff>0</xdr:rowOff>
    </xdr:to>
    <xdr:graphicFrame macro="">
      <xdr:nvGraphicFramePr>
        <xdr:cNvPr id="2" name="Revenue and margin by produc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12</xdr:col>
      <xdr:colOff>0</xdr:colOff>
      <xdr:row>15</xdr:row>
      <xdr:rowOff>0</xdr:rowOff>
    </xdr:from>
    <xdr:ext cx="1524000" cy="762000"/>
    <xdr:pic>
      <xdr:nvPicPr>
        <xdr:cNvPr id="3" name="Picture 3" descr="Diolog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524000" cy="76200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1</xdr:row>
      <xdr:rowOff>0</xdr:rowOff>
    </xdr:from>
    <xdr:ext cx="1428750" cy="1905000"/>
    <xdr:graphicFrame macro="">
      <xdr:nvGraphicFramePr>
        <xdr:cNvPr id="4" name="product"/>
        <xdr:cNvGraphicFramePr/>
      </xdr:nvGraphicFramePr>
      <xdr:xfrm>
        <a:off x="0" y="0"/>
        <a:ext cx="0" cy="0"/>
      </xdr:xfrm>
      <a:graphic>
        <a:graphicData uri="http://schemas.microsoft.com/office/drawing/2010/slicer">
          <sle:slicer xmlns:sle="http://schemas.microsoft.com/office/drawing/2010/slicer" name="product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857500" cy="666750"/>
    <xdr:sp macro="" textlink="">
      <xdr:nvSpPr>
        <xdr:cNvPr id="2" name="textbox 2"/>
        <xdr:cNvSpPr/>
      </xdr:nvSpPr>
      <xdr:spPr>
        <a:xfrm>
          <a:off x="0" y="0"/>
          <a:ext cx="2857500" cy="666750"/>
        </a:xfrm>
        <a:prstGeom prst="rect">
          <a:avLst/>
        </a:prstGeom>
        <a:noFill/>
        <a:ln>
          <a:noFill/>
        </a:ln>
      </xdr:spPr>
      <xdr:txBody>
        <a:bodyPr vertOverflow="clip" wrap="square" rtlCol="0"/>
        <a:lstStyle/>
        <a:p>
          <a:r>
            <a:rPr lang="en-US" sz="1100">
              <a:solidFill>
                <a:srgbClr val="5E6A82"/>
              </a:solidFill>
            </a:rPr>
            <a:t>Change inputs only in the yellow cells.</a:t>
          </a:r>
        </a:p>
        <a:p>
          <a:r>
            <a:rPr lang="en-US" sz="1100">
              <a:solidFill>
                <a:srgbClr val="5E6A82"/>
              </a:solidFill>
            </a:rPr>
            <a:t>Everything else recalculates.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144000" cy="6858000"/>
    <xdr:graphicFrame macro="">
      <xdr:nvGraphicFramePr>
        <xdr:cNvPr id="2" name="Revenue by reg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>
  <person displayName="Priya N" id="{0D31A0C7-9CD6-B9CC-0CD2-2C2E170E4709}" userId="Priya N" providerId="None"/>
  <person displayName="Luke R" id="{AA4EE6AE-CAFE-19E6-8A31-1A9713C0EB23}" userId="Luke R" providerId="None"/>
</personList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GridMD" refreshedVersion="6" createdVersion="6" minRefreshableVersion="3" recordCount="0">
  <cacheSource type="worksheet">
    <worksheetSource name="Sales"/>
  </cacheSource>
  <cacheFields count="9">
    <cacheField name="id" numFmtId="0">
      <sharedItems/>
    </cacheField>
    <cacheField name="product" numFmtId="0">
      <sharedItems/>
    </cacheField>
    <cacheField name="region" numFmtId="0">
      <sharedItems/>
    </cacheField>
    <cacheField name="quarter" numFmtId="0">
      <sharedItems/>
    </cacheField>
    <cacheField name="qty" numFmtId="0">
      <sharedItems/>
    </cacheField>
    <cacheField name="price" numFmtId="0">
      <sharedItems/>
    </cacheField>
    <cacheField name="total" numFmtId="0">
      <sharedItems/>
    </cacheField>
    <cacheField name="margin" numFmtId="0">
      <sharedItems/>
    </cacheField>
    <cacheField name="status" numFmtId="0">
      <sharedItems/>
    </cacheField>
  </cacheFields>
</pivotCacheDefinition>
</file>

<file path=xl/pivotCache/pivotCacheRecords1.xml><?xml version="1.0" encoding="utf-8"?>
<pivotCacheRecords xmlns="http://schemas.openxmlformats.org/spreadsheetml/2006/main" count="0"/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venueByRegion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1" compactData="1" outline="1" outlineData="1" multipleFieldFilters="0">
  <location ref="F16:I23" firstHeaderRow="1" firstDataRow="2" firstDataCol="1"/>
  <pivotFields count="9">
    <pivotField compact="1" outline="1" showAll="0"/>
    <pivotField compact="1" outline="1" showAll="0"/>
    <pivotField axis="axisRow" compact="1" outline="1" showAll="0">
      <items count="1">
        <item t="default"/>
      </items>
    </pivotField>
    <pivotField axis="axisCol" compact="1" outline="1" showAll="0">
      <items count="1">
        <item t="default"/>
      </items>
    </pivotField>
    <pivotField compact="1" outline="1" showAll="0"/>
    <pivotField compact="1" outline="1" showAll="0"/>
    <pivotField dataField="1" compact="1" outline="1" showAll="0"/>
    <pivotField compact="1" outline="1" showAll="0"/>
    <pivotField compact="1" outline="1" showAll="0"/>
  </pivotFields>
  <rowFields count="1">
    <field x="2"/>
  </rowFields>
  <rowItems count="1">
    <i t="grand">
      <x/>
    </i>
  </rowItems>
  <colFields count="1">
    <field x="3"/>
  </colFields>
  <colItems count="1">
    <i t="grand">
      <x/>
    </i>
  </colItems>
  <dataFields count="1">
    <dataField name="Sum of total" fld="6" baseField="0" baseItem="0" numFmtId="166"/>
  </dataFields>
  <pivotTableStyleInfo name="PivotStyleLight16" showRowHeaders="1" showColHeaders="1" showRowStripes="0" showColStripes="0" showLastColumn="1"/>
</pivotTableDefinition>
</file>

<file path=xl/slicerCaches/slicerCache1.xml><?xml version="1.0" encoding="utf-8"?>
<slicerCacheDefinition xmlns="http://schemas.microsoft.com/office/spreadsheetml/2009/9/main" xmlns:x="http://schemas.openxmlformats.org/spreadsheetml/2006/main" name="Slicer_product" sourceName="product">
  <extLst>
    <x:ext xmlns:x15="http://schemas.microsoft.com/office/spreadsheetml/2010/11/main" uri="{2F2917AC-EB37-4324-AD4E-5DD8C200BD13}">
      <x15:tableSlicerCache tableId="1" column="2"/>
    </x:ext>
  </extLst>
</slicerCacheDefinition>
</file>

<file path=xl/slicers/slicer1.xml><?xml version="1.0" encoding="utf-8"?>
<slicers xmlns="http://schemas.microsoft.com/office/spreadsheetml/2009/9/main" xmlns:x="http://schemas.openxmlformats.org/spreadsheetml/2006/main">
  <slicer name="product" cache="Slicer_product" caption="product" rowHeight="241300"/>
</slicers>
</file>

<file path=xl/tables/table1.xml><?xml version="1.0" encoding="utf-8"?>
<table xmlns="http://schemas.openxmlformats.org/spreadsheetml/2006/main" id="1" name="Sales" displayName="Sales" ref="A4:I12" totalsRowCount="1">
  <autoFilter ref="A4:I11">
    <filterColumn colId="8">
      <filters>
        <filter val="Open"/>
        <filter val="Closed"/>
      </filters>
    </filterColumn>
  </autoFilter>
  <sortState ref="A5:I11">
    <sortCondition ref="G5:G11" descending="1"/>
  </sortState>
  <tableColumns count="9">
    <tableColumn id="1" name="id"/>
    <tableColumn id="2" name="product" totalsRowLabel="Total"/>
    <tableColumn id="3" name="region"/>
    <tableColumn id="4" name="quarter"/>
    <tableColumn id="5" name="qty"/>
    <tableColumn id="6" name="price"/>
    <tableColumn id="7" name="total" totalsRowFunction="sum"/>
    <tableColumn id="8" name="margin"/>
    <tableColumn id="9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xRates" displayName="FxRates" ref="A12:B15">
  <autoFilter ref="A12:B15"/>
  <tableColumns count="2">
    <tableColumn id="1" name="currency"/>
    <tableColumn id="2" name="rate"/>
  </tableColumns>
  <tableStyleInfo name="TableStyleLight1" showFirstColumn="0" showLastColumn="0" showRowStripes="1" showColumnStripes="0"/>
</table>
</file>

<file path=xl/threadedComments/threadedComment1.xml><?xml version="1.0" encoding="utf-8"?>
<ThreadedComments xmlns="http://schemas.microsoft.com/office/spreadsheetml/2018/threadedcomments">
  <threadedComment ref="G8" dT="2026-07-02T09:14:00" personId="{0D31A0C7-9CD6-B9CC-0CD2-2C2E170E4709}" id="{9A085E35-3643-4E6A-27A6-07EAB07EFC31}" done="1">
    <text>Widget D total looks high for 4 units — confirm the unit price.</text>
  </threadedComment>
  <threadedComment ref="G8" dT="2026-07-02T09:31:00" personId="{AA4EE6AE-CAFE-19E6-8A31-1A9713C0EB23}" id="{00A1B657-9FD9-0DC1-E6FF-88C5FF2A09D2}" parentId="{9A085E35-3643-4E6A-27A6-07EAB07EFC31}">
    <text>Confirmed — enterprise SKU at $100.</text>
  </threadedComment>
</ThreadedComment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drive.example.com/q3-pack" TargetMode="External"/><Relationship Id="rId2" Type="http://schemas.openxmlformats.org/officeDocument/2006/relationships/pivotTable" Target="../pivotTables/pivotTable1.xml"/><Relationship Id="rId3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microsoft.com/office/2017/10/relationships/threadedComment" Target="../threadedComments/threadedComment1.xml"/><Relationship Id="rId2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3FA6"/>
    <pageSetUpPr fitToPage="1"/>
  </sheetPr>
  <dimension ref="A1:F20"/>
  <sheetViews>
    <sheetView workbookViewId="0" showGridLines="0" zoomScale="110">
      <pane ySplit="2" topLeftCell="A3" activePane="bottomLeft" state="frozen"/>
    </sheetView>
  </sheetViews>
  <sheetFormatPr defaultRowHeight="15"/>
  <cols>
    <col min="1" max="1" width="2.71" customWidth="1"/>
    <col min="2" max="2" width="20.71" customWidth="1"/>
    <col min="3" max="4" width="15" customWidth="1"/>
  </cols>
  <sheetData>
    <row r="1">
      <c r="A1" s="1" t="inlineStr">
        <is>
          <t xml:space="preserve">Q3 Board Pack — FY26</t>
        </is>
      </c>
      <c r="B1" s="1"/>
      <c r="C1" s="1"/>
      <c r="D1" s="1"/>
      <c r="E1" s="1"/>
      <c r="F1" s="1"/>
    </row>
    <row r="2">
      <c r="A2" t="inlineStr">
        <is>
          <r>
            <rPr>
              <color rgb="FF5E6A82"/>
            </rPr>
            <t xml:space="preserve">Prepared 4 Jul 2026 · </t>
          </r>
          <r>
            <rPr>
              <i/>
              <color rgb="FFC0392B"/>
            </rPr>
            <t xml:space="preserve">unaudited</t>
          </r>
        </is>
      </c>
    </row>
    <row r="4">
      <c r="B4" s="2" t="inlineStr">
        <is>
          <t xml:space="preserve">Revenue</t>
        </is>
      </c>
      <c r="C4" s="3">
        <f>SUM(Sales[total])</f>
        <v>2003.05</v>
      </c>
    </row>
    <row r="5">
      <c r="B5" s="2" t="inlineStr">
        <is>
          <t xml:space="preserve">Avg margin</t>
        </is>
      </c>
      <c r="C5" s="4">
        <f>AVERAGE(Sales[margin])</f>
        <v>0.3771428571428571</v>
      </c>
    </row>
    <row r="6">
      <c r="B6" s="2" t="inlineStr">
        <is>
          <t xml:space="preserve">Tax due</t>
        </is>
      </c>
      <c r="C6" s="3">
        <f>C4*TaxRate</f>
        <v>600.915</v>
      </c>
    </row>
    <row r="9">
      <c r="B9" t="str">
        <f t="array" ref="B9:B11">SORT(UNIQUE(Sales[region]))</f>
        <v>AU</v>
      </c>
    </row>
    <row r="10">
      <c r="B10" t="inlineStr">
        <is>
          <t xml:space="preserve">NZ</t>
        </is>
      </c>
    </row>
    <row r="11">
      <c r="B11" t="inlineStr">
        <is>
          <t xml:space="preserve">UK</t>
        </is>
      </c>
    </row>
    <row r="13">
      <c r="B13" s="5" t="inlineStr">
        <is>
          <t xml:space="preserve">6-month trend by region</t>
        </is>
      </c>
    </row>
    <row r="14">
      <c r="B14" t="inlineStr">
        <is>
          <t xml:space="preserve">AU</t>
        </is>
      </c>
    </row>
    <row r="15">
      <c r="B15" t="inlineStr">
        <is>
          <t xml:space="preserve">NZ</t>
        </is>
      </c>
    </row>
    <row r="16">
      <c r="B16" t="inlineStr">
        <is>
          <t xml:space="preserve">UK</t>
        </is>
      </c>
    </row>
    <row r="20">
      <c r="A20" t="inlineStr">
        <is>
          <t xml:space="preserve">Source workbook</t>
        </is>
      </c>
    </row>
  </sheetData>
  <mergeCells count="1">
    <mergeCell ref="A1:F1"/>
  </mergeCells>
  <hyperlinks>
    <hyperlink ref="A20" r:id="rId1" tooltip="Original upload"/>
  </hyperlinks>
  <pageMargins left="0.7087" right="0.7087" top="0.748" bottom="0.748" header="0.315" footer="0.315"/>
  <pageSetup orientation="landscape" paperSize="9" fitToWidth="1" fitToHeight="0"/>
  <headerFooter>
    <oddHeader>&amp;C&amp;B Q3 Board Pack</oddHeader>
    <oddFooter>&amp;RPage &amp;P of &amp;N</oddFooter>
  </headerFooter>
  <drawing r:id="rId4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markers="1">
          <x14:colorSeries rgb="FF1F3FA6"/>
          <x14:colorNegative rgb="FFD00000"/>
          <x14:colorAxis rgb="FF000000"/>
          <x14:colorMarkers rgb="FF1F3FA6"/>
          <x14:colorFirst rgb="FF1F3FA6"/>
          <x14:colorLast rgb="FF1F3FA6"/>
          <x14:colorHigh rgb="FF00B050"/>
          <x14:colorLow rgb="FFD00000"/>
          <x14:sparklines>
            <x14:sparkline>
              <xm:f>Data!B2:G2</xm:f>
              <xm:sqref>C14</xm:sqref>
            </x14:sparkline>
            <x14:sparkline>
              <xm:f>Data!B3:G3</xm:f>
              <xm:sqref>C15</xm:sqref>
            </x14:sparkline>
            <x14:sparkline>
              <xm:f>Data!B4:G4</xm:f>
              <xm:sqref>C16</xm:sqref>
            </x14:sparkline>
          </x14:sparklines>
        </x14:sparklineGroup>
      </x14:sparklineGroups>
    </ext>
    <ext xmlns:x14="http://schemas.microsoft.com/office/spreadsheetml/2009/9/main" uri="{A8765BA9-456A-4dab-B4F3-ACF838C121DE}">
      <x14:slicerList>
        <x14:slicer xmlns:r="http://schemas.openxmlformats.org/officeDocument/2006/relationships"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63BE7B"/>
  </sheetPr>
  <dimension ref="A1:I12"/>
  <sheetViews>
    <sheetView workbookViewId="0">
      <pane ySplit="4" topLeftCell="A5" activePane="bottomLeft" state="frozen"/>
    </sheetView>
  </sheetViews>
  <sheetFormatPr defaultRowHeight="15"/>
  <cols>
    <col min="1" max="1" width="6.14" customWidth="1"/>
    <col min="2" max="2" width="19.29" customWidth="1"/>
    <col min="6" max="8" width="13" customWidth="1"/>
  </cols>
  <sheetData>
    <row r="1">
      <c r="A1" s="2" t="inlineStr">
        <is>
          <t xml:space="preserve">Sales detail — Q3</t>
        </is>
      </c>
    </row>
    <row r="2">
      <c r="A2" s="6" t="inlineStr">
        <is>
          <t xml:space="preserve">Filtered view: open + closed deals.</t>
        </is>
      </c>
    </row>
    <row r="4">
      <c r="A4" t="inlineStr">
        <is>
          <t xml:space="preserve">id</t>
        </is>
      </c>
      <c r="B4" t="inlineStr">
        <is>
          <t xml:space="preserve">product</t>
        </is>
      </c>
      <c r="C4" t="inlineStr">
        <is>
          <t xml:space="preserve">region</t>
        </is>
      </c>
      <c r="D4" t="inlineStr">
        <is>
          <t xml:space="preserve">quarter</t>
        </is>
      </c>
      <c r="E4" t="inlineStr">
        <is>
          <t xml:space="preserve">qty</t>
        </is>
      </c>
      <c r="F4" t="inlineStr">
        <is>
          <t xml:space="preserve">price</t>
        </is>
      </c>
      <c r="G4" t="inlineStr">
        <is>
          <t xml:space="preserve">total</t>
        </is>
      </c>
      <c r="H4" t="inlineStr">
        <is>
          <t xml:space="preserve">margin</t>
        </is>
      </c>
      <c r="I4" t="inlineStr">
        <is>
          <t xml:space="preserve">status</t>
        </is>
      </c>
    </row>
    <row r="5">
      <c r="A5">
        <v>1</v>
      </c>
      <c r="B5" t="inlineStr">
        <is>
          <t xml:space="preserve">Widget A</t>
        </is>
      </c>
      <c r="C5" t="inlineStr">
        <is>
          <t xml:space="preserve">AU</t>
        </is>
      </c>
      <c r="D5" t="inlineStr">
        <is>
          <t xml:space="preserve">Q3</t>
        </is>
      </c>
      <c r="E5" s="7">
        <v>45</v>
      </c>
      <c r="F5" s="3">
        <v>12.99</v>
      </c>
      <c r="G5" s="3">
        <f>[@qty]*[@price]</f>
        <v>584.55</v>
      </c>
      <c r="H5" s="8">
        <v>0.45</v>
      </c>
      <c r="I5" t="inlineStr">
        <is>
          <t xml:space="preserve">Closed</t>
        </is>
      </c>
    </row>
    <row r="6">
      <c r="A6">
        <v>2</v>
      </c>
      <c r="B6" t="inlineStr">
        <is>
          <t xml:space="preserve">Widget B</t>
        </is>
      </c>
      <c r="C6" t="inlineStr">
        <is>
          <t xml:space="preserve">NZ</t>
        </is>
      </c>
      <c r="D6" t="inlineStr">
        <is>
          <t xml:space="preserve">Q3</t>
        </is>
      </c>
      <c r="E6" s="7">
        <v>12</v>
      </c>
      <c r="F6" s="3">
        <v>19.5</v>
      </c>
      <c r="G6" s="3">
        <f>[@qty]*[@price]</f>
        <v>234</v>
      </c>
      <c r="H6" s="8">
        <v>0.32</v>
      </c>
      <c r="I6" t="inlineStr">
        <is>
          <t xml:space="preserve">Open</t>
        </is>
      </c>
    </row>
    <row r="7">
      <c r="A7">
        <v>3</v>
      </c>
      <c r="B7" t="inlineStr">
        <is>
          <t xml:space="preserve">Widget C</t>
        </is>
      </c>
      <c r="C7" t="inlineStr">
        <is>
          <t xml:space="preserve">AU</t>
        </is>
      </c>
      <c r="D7" t="inlineStr">
        <is>
          <t xml:space="preserve">Q3</t>
        </is>
      </c>
      <c r="E7" s="7">
        <v>89</v>
      </c>
      <c r="F7" s="3">
        <v>5</v>
      </c>
      <c r="G7" s="3">
        <f>[@qty]*[@price]</f>
        <v>445</v>
      </c>
      <c r="H7" s="8">
        <v>0.38</v>
      </c>
      <c r="I7" t="inlineStr">
        <is>
          <t xml:space="preserve">Closed</t>
        </is>
      </c>
    </row>
    <row r="8">
      <c r="A8">
        <v>4</v>
      </c>
      <c r="B8" t="inlineStr">
        <is>
          <t xml:space="preserve">Widget D</t>
        </is>
      </c>
      <c r="C8" t="inlineStr">
        <is>
          <t xml:space="preserve">UK</t>
        </is>
      </c>
      <c r="D8" t="inlineStr">
        <is>
          <t xml:space="preserve">Q3</t>
        </is>
      </c>
      <c r="E8" s="7">
        <v>4</v>
      </c>
      <c r="F8" s="3">
        <v>100</v>
      </c>
      <c r="G8" s="3">
        <f>[@qty]*[@price]</f>
        <v>400</v>
      </c>
      <c r="H8" s="8">
        <v>0.41</v>
      </c>
      <c r="I8" t="inlineStr">
        <is>
          <t xml:space="preserve">Open</t>
        </is>
      </c>
    </row>
    <row r="9">
      <c r="A9">
        <v>5</v>
      </c>
      <c r="B9" t="inlineStr">
        <is>
          <t xml:space="preserve">Widget E</t>
        </is>
      </c>
      <c r="C9" t="inlineStr">
        <is>
          <t xml:space="preserve">UK</t>
        </is>
      </c>
      <c r="D9" t="inlineStr">
        <is>
          <t xml:space="preserve">Q3</t>
        </is>
      </c>
      <c r="E9" s="7">
        <v>10</v>
      </c>
      <c r="F9" s="3">
        <v>15</v>
      </c>
      <c r="G9" s="3">
        <f>[@qty]*[@price]</f>
        <v>150</v>
      </c>
      <c r="H9" s="8">
        <v>0.35</v>
      </c>
      <c r="I9" t="inlineStr">
        <is>
          <t xml:space="preserve">Blocked</t>
        </is>
      </c>
    </row>
    <row r="10">
      <c r="A10">
        <v>6</v>
      </c>
      <c r="B10" t="inlineStr">
        <is>
          <t xml:space="preserve">Widget F</t>
        </is>
      </c>
      <c r="C10" t="inlineStr">
        <is>
          <t xml:space="preserve">NZ</t>
        </is>
      </c>
      <c r="D10" t="inlineStr">
        <is>
          <t xml:space="preserve">Q3</t>
        </is>
      </c>
      <c r="E10" s="7">
        <v>50</v>
      </c>
      <c r="F10" s="3">
        <v>1.99</v>
      </c>
      <c r="G10" s="3">
        <f>[@qty]*[@price]</f>
        <v>99.5</v>
      </c>
      <c r="H10" s="8">
        <v>0.29</v>
      </c>
      <c r="I10" t="inlineStr">
        <is>
          <t xml:space="preserve">Closed</t>
        </is>
      </c>
    </row>
    <row r="11">
      <c r="A11">
        <v>7</v>
      </c>
      <c r="B11" t="inlineStr">
        <is>
          <t xml:space="preserve">Widget G</t>
        </is>
      </c>
      <c r="C11" t="inlineStr">
        <is>
          <t xml:space="preserve">AU</t>
        </is>
      </c>
      <c r="D11" t="inlineStr">
        <is>
          <t xml:space="preserve">Q3</t>
        </is>
      </c>
      <c r="E11" s="7">
        <v>2</v>
      </c>
      <c r="F11" s="3">
        <v>45</v>
      </c>
      <c r="G11" s="3">
        <f>[@qty]*[@price]</f>
        <v>90</v>
      </c>
      <c r="H11" s="8">
        <v>0.44</v>
      </c>
      <c r="I11" t="inlineStr">
        <is>
          <t xml:space="preserve">Open</t>
        </is>
      </c>
    </row>
    <row r="12">
      <c r="B12" t="inlineStr">
        <is>
          <t xml:space="preserve">Total</t>
        </is>
      </c>
      <c r="E12" s="7"/>
      <c r="F12" s="3"/>
      <c r="G12" s="3">
        <f>SUBTOTAL(109,[total])</f>
      </c>
      <c r="H12" s="8"/>
    </row>
  </sheetData>
  <mergeCells count="1">
    <mergeCell ref="A1:C1"/>
  </mergeCells>
  <conditionalFormatting sqref="G5:G11">
    <cfRule type="cellIs" priority="1" dxfId="0" operator="greaterThan">
      <formula>500</formula>
    </cfRule>
    <cfRule type="dataBar" priority="2">
      <dataBar>
        <cfvo type="min"/>
        <cfvo type="max"/>
        <color rgb="FF1F3FA6"/>
      </dataBar>
    </cfRule>
  </conditionalFormatting>
  <conditionalFormatting sqref="E5:E11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5:B11">
    <cfRule type="duplicateValues" priority="4" dxfId="1"/>
  </conditionalFormatting>
  <dataValidations count="2">
    <dataValidation type="list" sqref="C5:C11" allowBlank="1" showInputMessage="1" promptTitle="Region" prompt="AU, NZ or UK." showErrorMessage="1" errorTitle="Invalid region" error="Pick a listed region.">
      <formula1>Regions</formula1>
    </dataValidation>
    <dataValidation type="list" sqref="I5:I11" allowBlank="1">
      <formula1>"Open,Closed,Blocked"</formula1>
    </dataValidation>
  </dataValidations>
  <pageMargins left="0.7008" right="0.7008" top="0.752" bottom="0.752" header="0.2992" footer="0.2992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E6A82"/>
  </sheetPr>
  <dimension ref="A1:C8"/>
  <sheetViews>
    <sheetView workbookViewId="0"/>
  </sheetViews>
  <sheetFormatPr defaultRowHeight="15"/>
  <cols>
    <col min="1" max="1" width="22.14" customWidth="1"/>
    <col min="2" max="2" width="15" customWidth="1"/>
  </cols>
  <sheetData>
    <row r="1">
      <c r="A1" s="2" t="inlineStr">
        <is>
          <t xml:space="preserve">Assumptions</t>
        </is>
      </c>
    </row>
    <row r="2">
      <c r="A2" t="inlineStr">
        <is>
          <t xml:space="preserve">Tax rate</t>
        </is>
      </c>
      <c r="B2" s="9">
        <v>0.3</v>
      </c>
    </row>
    <row r="3">
      <c r="A3" t="inlineStr">
        <is>
          <t xml:space="preserve">USD/AUD</t>
        </is>
      </c>
      <c r="B3" s="10">
        <v>0.66</v>
      </c>
    </row>
    <row r="4">
      <c r="A4" t="inlineStr">
        <is>
          <t xml:space="preserve">Volume growth</t>
        </is>
      </c>
      <c r="B4" s="11">
        <v>0.08</v>
      </c>
    </row>
    <row r="5">
      <c r="A5" t="inlineStr">
        <is>
          <t xml:space="preserve">Include forecast</t>
        </is>
      </c>
      <c r="B5" s="12" t="b">
        <v>1</v>
      </c>
    </row>
    <row r="6">
      <c r="A6" t="inlineStr">
        <is>
          <t xml:space="preserve">Benchmark (MSFT)</t>
        </is>
      </c>
      <c r="B6" t="inlineStr">
        <is>
          <t xml:space="preserve">MSFT</t>
        </is>
      </c>
      <c r="C6" s="3">
        <f>B6.Price</f>
        <v>442.1</v>
      </c>
    </row>
    <row r="8">
      <c r="A8" s="13">
        <f>FtoC(100)</f>
        <v>37.77777777777778</v>
      </c>
      <c r="B8" s="6" t="inlineStr">
        <is>
          <t xml:space="preserve">°C equivalent of 100 °F (via the FtoC LAMBDA)</t>
        </is>
      </c>
    </row>
  </sheetData>
  <sheetProtection sheet="1" formatCells="1" formatColumns="1" formatRows="1" insertColumns="1" insertRows="1" insertHyperlinks="1" deleteColumns="1" deleteRows="1" sort="1" autoFilter="1" pivotTables="1" objects="1" scenarios="1" selectLockedCells="0" selectUnlockedCells="0"/>
  <scenarios>
    <scenario name="Downside" locked="1" count="2" user="GridMD" comment="FX -12%, volume shrinks 10%.">
      <inputCells r="B3" val="0.58"/>
      <inputCells r="B4" val="-0.1"/>
    </scenario>
  </scenarios>
  <pageMargins left="0.7008" right="0.7008" top="0.752" bottom="0.752" header="0.2992" footer="0.2992"/>
  <drawing r:id="rId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>
      <c r="A1" s="14" t="inlineStr">
        <is>
          <t xml:space="preserve">Region</t>
        </is>
      </c>
      <c r="B1" s="14" t="inlineStr">
        <is>
          <t xml:space="preserve">Jan</t>
        </is>
      </c>
      <c r="C1" s="14" t="inlineStr">
        <is>
          <t xml:space="preserve">Feb</t>
        </is>
      </c>
      <c r="D1" s="14" t="inlineStr">
        <is>
          <t xml:space="preserve">Mar</t>
        </is>
      </c>
      <c r="E1" s="14" t="inlineStr">
        <is>
          <t xml:space="preserve">Apr</t>
        </is>
      </c>
      <c r="F1" s="14" t="inlineStr">
        <is>
          <t xml:space="preserve">May</t>
        </is>
      </c>
      <c r="G1" s="14" t="inlineStr">
        <is>
          <t xml:space="preserve">Jun</t>
        </is>
      </c>
    </row>
    <row r="2" outlineLevel="1">
      <c r="A2" t="inlineStr">
        <is>
          <t xml:space="preserve">AU</t>
        </is>
      </c>
      <c r="B2">
        <v>320</v>
      </c>
      <c r="C2">
        <v>340</v>
      </c>
      <c r="D2">
        <v>355</v>
      </c>
      <c r="E2">
        <v>361</v>
      </c>
      <c r="F2">
        <v>380</v>
      </c>
      <c r="G2">
        <v>402</v>
      </c>
    </row>
    <row r="3" outlineLevel="1">
      <c r="A3" t="inlineStr">
        <is>
          <t xml:space="preserve">NZ</t>
        </is>
      </c>
      <c r="B3">
        <v>88</v>
      </c>
      <c r="C3">
        <v>91</v>
      </c>
      <c r="D3">
        <v>95</v>
      </c>
      <c r="E3">
        <v>99</v>
      </c>
      <c r="F3">
        <v>104</v>
      </c>
      <c r="G3">
        <v>108</v>
      </c>
    </row>
    <row r="4" outlineLevel="1">
      <c r="A4" t="inlineStr">
        <is>
          <t xml:space="preserve">UK</t>
        </is>
      </c>
      <c r="B4">
        <v>150</v>
      </c>
      <c r="C4">
        <v>149</v>
      </c>
      <c r="D4">
        <v>160</v>
      </c>
      <c r="E4">
        <v>158</v>
      </c>
      <c r="F4">
        <v>165</v>
      </c>
      <c r="G4">
        <v>171</v>
      </c>
    </row>
    <row r="12">
      <c r="A12" t="inlineStr">
        <is>
          <t xml:space="preserve">currency</t>
        </is>
      </c>
      <c r="B12" t="inlineStr">
        <is>
          <t xml:space="preserve">rate</t>
        </is>
      </c>
    </row>
    <row r="13">
      <c r="A13" t="inlineStr">
        <is>
          <t xml:space="preserve">EUR</t>
        </is>
      </c>
      <c r="B13" s="15">
        <v>0.6104</v>
      </c>
    </row>
    <row r="14">
      <c r="A14" t="inlineStr">
        <is>
          <t xml:space="preserve">GBP</t>
        </is>
      </c>
      <c r="B14" s="15">
        <v>0.5182</v>
      </c>
    </row>
    <row r="15">
      <c r="A15" t="inlineStr">
        <is>
          <t xml:space="preserve">USD</t>
        </is>
      </c>
      <c r="B15" s="15">
        <v>0.66</v>
      </c>
    </row>
  </sheetData>
  <pageMargins left="0.7008" right="0.7008" top="0.752" bottom="0.752" header="0.2992" footer="0.2992"/>
  <tableParts count="1">
    <tablePart r:id="rId1"/>
  </tableParts>
</worksheet>
</file>

<file path=customXml/gridmdCarry1.xml><?xml version="1.0" encoding="utf-8"?>
<gridmdCarry xmlns="urn:gridmd:carry">{
 "gridmd": "0.1",
 "carried": [
  {
   "kind": "query",
   "line": 28,
   "feature": "{query} FxRates",
   "args": {
    "positional": [
     "FxRates"
    ],
    "flags": {},
    "anchor": null,
    "size": null
   },
   "meta": {
    "source": {
     "url": "https://api.example.com/fx.csv",
     "format": "csv"
    },
    "steps": [
     {
      "promote-headers": true
     },
     {
      "filter": {
       "col": "currency",
       "in": [
        "USD",
        "EUR",
        "GBP"
       ]
      }
     },
     {
      "rename": {
       "col": "rate_mid",
       "to": "rate"
      }
     },
     {
      "type": {
       "col": "rate",
       "as": "number"
      }
     },
     {
      "sort": {
       "col": "currency",
       "order": "asc"
      }
     }
    ],
    "output": {
     "table": "FxRates",
     "at": "Data!A12"
    },
    "refresh": "on-open"
   },
   "code": null,
   "body": [
    "source: { url: \"https://api.example.com/fx.csv\", format: csv }",
    "steps:",
    "  - promote-headers: true",
    "  - filter: { col: currency, in: [USD, EUR, GBP] }",
    "  - rename: { col: rate_mid, to: rate }",
    "  - type: { col: rate, as: number }",
    "  - sort: { col: currency, order: asc }",
    "output: { table: FxRates, at: Data!A12 }",
    "refresh: on-open"
   ]
  },
  {
   "kind": "script",
   "line": 40,
   "feature": "{script} tidy-headers",
   "args": {
    "positional": [
     "tidy-headers"
    ],
    "flags": {
     "lang": "js"
    },
    "anchor": null,
    "size": null
   },
   "meta": {
    "on": "manual"
   },
   "code": "export default function run(wb) {\n  for (const sheet of wb.sheets()) sheet.trimHeaderWhitespace();\n}",
   "body": [
    "on: manual",
    "---",
    "export default function run(wb) {",
    "  for (const sheet of wb.sheets()) sheet.trimHeaderWhitespace();",
    "}"
   ]
  },
  {
   "kind": "prop",
   "line": 264,
   "feature": "control: checkbox at B5",
   "args": null,
   "meta": {
    "target": "B5",
    "control": "checkbox"
   },
   "code": null,
   "body": null
  },
  {
   "kind": "prop",
   "line": 267,
   "feature": "entity cell at B6",
   "args": null,
   "meta": {
    "target": "B6",
    "entity": {
     "type": "stock",
     "id": "XNAS:MSFT",
     "text": "MSFT"
    },
    "fields": {
     "Price": 442.1,
     "Currency": "USD"
    }
   },
   "code": null,
   "body": null
  }
 ]
}</gridmdCarry>
</file>

<file path=customXml/item1.xml><?xml version="1.0" encoding="utf-8"?>
<opaque xmlns="urn:diolog:tags">
  <tag>board-pack</tag>
</opaque>
</file>

<file path=docProps/app.xml><?xml version="1.0" encoding="utf-8"?>
<Properties xmlns="http://schemas.openxmlformats.org/officeDocument/2006/extended-properties">
  <Application>GridMD</Application>
  <Company>Diolog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Q3 Board Pack</dc:title>
  <dc:creator>Luke Rhodes</dc:creator>
  <dcterms:created xsi:type="dcterms:W3CDTF">2026-07-04T00:00:00Z</dcterms:created>
</cp:coreProperties>
</file>